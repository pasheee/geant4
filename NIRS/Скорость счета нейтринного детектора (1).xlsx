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<sst xmlns="http://schemas.openxmlformats.org/spreadsheetml/2006/main" count="23" uniqueCount="23">
  <si>
    <t xml:space="preserve">Доли делений</t>
  </si>
  <si>
    <t xml:space="preserve">L, см</t>
  </si>
  <si>
    <t>al5</t>
  </si>
  <si>
    <t xml:space="preserve">Pth, МВт</t>
  </si>
  <si>
    <t>al8</t>
  </si>
  <si>
    <t xml:space="preserve">Np - число протонов</t>
  </si>
  <si>
    <t>al9</t>
  </si>
  <si>
    <t xml:space="preserve">eps - эффективность</t>
  </si>
  <si>
    <t>al1</t>
  </si>
  <si>
    <t xml:space="preserve">Число событий в сутки</t>
  </si>
  <si>
    <t xml:space="preserve">Выходы ОБР</t>
  </si>
  <si>
    <t xml:space="preserve">s5, см2</t>
  </si>
  <si>
    <t xml:space="preserve">s8, см2</t>
  </si>
  <si>
    <t xml:space="preserve">s9, см2</t>
  </si>
  <si>
    <t xml:space="preserve">s1, см2</t>
  </si>
  <si>
    <t xml:space="preserve">Тепловая энергия </t>
  </si>
  <si>
    <t xml:space="preserve">Ef5, МэВ</t>
  </si>
  <si>
    <t xml:space="preserve">Ef8, МэВ</t>
  </si>
  <si>
    <t xml:space="preserve">Ef9, МэВ</t>
  </si>
  <si>
    <t xml:space="preserve">Ef1, МэВ</t>
  </si>
  <si>
    <t xml:space="preserve">Средний выход и Ef</t>
  </si>
  <si>
    <t>&lt;Ef&gt;</t>
  </si>
  <si>
    <t>&lt;Sf&gt;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</si>
</sst>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 applyAlignment="1">
      <alignment horizontal="center"/>
    </xf>
    <xf fontId="0" fillId="2" borderId="0" numFmt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8" zoomScale="100" workbookViewId="0">
      <selection activeCell="A1" activeCellId="0" sqref="A1"/>
    </sheetView>
  </sheetViews>
  <sheetFormatPr defaultRowHeight="14.25"/>
  <cols>
    <col bestFit="1" min="4" max="4" width="11.421875"/>
    <col customWidth="1" min="7" max="7" width="22.00390625"/>
    <col customWidth="1" min="8" max="9" width="9.140625"/>
  </cols>
  <sheetData>
    <row r="10" ht="14.25">
      <c r="C10" s="1" t="s">
        <v>0</v>
      </c>
      <c r="D10" s="1"/>
      <c r="G10" t="s">
        <v>1</v>
      </c>
      <c r="H10">
        <v>2000</v>
      </c>
    </row>
    <row r="11" ht="14.25">
      <c r="C11" t="s">
        <v>2</v>
      </c>
      <c r="D11">
        <v>0.69999999999999996</v>
      </c>
      <c r="G11" t="s">
        <v>3</v>
      </c>
      <c r="H11">
        <v>3000</v>
      </c>
    </row>
    <row r="12" ht="14.25">
      <c r="C12" t="s">
        <v>4</v>
      </c>
      <c r="D12">
        <v>0.080000000000000002</v>
      </c>
      <c r="G12" t="s">
        <v>5</v>
      </c>
      <c r="H12">
        <f>7.03*1e+28</f>
        <v>7.0300000000000001e+28</v>
      </c>
    </row>
    <row r="13" ht="14.25">
      <c r="C13" t="s">
        <v>6</v>
      </c>
      <c r="D13">
        <f>1-D11-D12-D14</f>
        <v>0.20000000000000004</v>
      </c>
      <c r="G13" t="s">
        <v>7</v>
      </c>
      <c r="H13">
        <v>1</v>
      </c>
    </row>
    <row r="14" ht="14.25">
      <c r="C14" t="s">
        <v>8</v>
      </c>
      <c r="D14">
        <v>0.02</v>
      </c>
    </row>
    <row r="16" ht="14.25">
      <c r="G16" s="2" t="s">
        <v>9</v>
      </c>
      <c r="H16" s="2">
        <f>(H13*H12)/(4*3.141592*H10*H10)*H11/(D32*1.6*1e-19)*D33*3600*24</f>
        <v>6825.6255281624462</v>
      </c>
    </row>
    <row r="17" ht="14.25">
      <c r="C17" s="1" t="s">
        <v>10</v>
      </c>
      <c r="D17" s="1"/>
    </row>
    <row r="18" ht="14.25">
      <c r="C18" t="s">
        <v>11</v>
      </c>
      <c r="D18">
        <f>6.3*1e-43</f>
        <v>6.3000000000000002e-43</v>
      </c>
    </row>
    <row r="19" ht="14.25">
      <c r="C19" t="s">
        <v>12</v>
      </c>
      <c r="D19">
        <f>9.34*6.3/6.27*1e-43</f>
        <v>9.3846889952153119e-43</v>
      </c>
    </row>
    <row r="20" ht="14.25">
      <c r="C20" t="s">
        <v>13</v>
      </c>
      <c r="D20">
        <f>4.33*1e-43</f>
        <v>4.3300000000000004e-43</v>
      </c>
    </row>
    <row r="21" ht="14.25">
      <c r="C21" t="s">
        <v>14</v>
      </c>
      <c r="D21">
        <f>6.01*1e-43</f>
        <v>6.0100000000000006e-43</v>
      </c>
    </row>
    <row r="24" ht="14.25">
      <c r="C24" s="1" t="s">
        <v>15</v>
      </c>
      <c r="D24" s="1"/>
    </row>
    <row r="25" ht="14.25">
      <c r="C25" t="s">
        <v>16</v>
      </c>
      <c r="D25">
        <v>201.90000000000001</v>
      </c>
    </row>
    <row r="26" ht="14.25">
      <c r="C26" t="s">
        <v>17</v>
      </c>
      <c r="D26">
        <v>205.5</v>
      </c>
    </row>
    <row r="27" ht="14.25">
      <c r="C27" t="s">
        <v>18</v>
      </c>
      <c r="D27">
        <v>210</v>
      </c>
    </row>
    <row r="28" ht="14.25">
      <c r="C28" t="s">
        <v>19</v>
      </c>
      <c r="D28">
        <v>213.59999999999999</v>
      </c>
    </row>
    <row r="31" ht="14.25">
      <c r="C31" s="1" t="s">
        <v>20</v>
      </c>
      <c r="D31" s="1"/>
    </row>
    <row r="32" ht="14.25">
      <c r="C32" t="s">
        <v>21</v>
      </c>
      <c r="D32">
        <f>D11*D25+D12*D26+D13*D27+D14*D28</f>
        <v>204.04199999999997</v>
      </c>
    </row>
    <row r="33" ht="14.25">
      <c r="C33" t="s">
        <v>22</v>
      </c>
      <c r="D33">
        <f>D11*D18+D12*D19+D13*D20+D14*D21</f>
        <v>6.1469751196172246e-43</v>
      </c>
    </row>
  </sheetData>
  <mergeCells count="4">
    <mergeCell ref="C10:D10"/>
    <mergeCell ref="C17:D17"/>
    <mergeCell ref="C24:D24"/>
    <mergeCell ref="C31:D3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2026-06-09T10:27:13Z</dcterms:modified>
</cp:coreProperties>
</file>